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ngine Room" sheetId="1" state="visible" r:id="rId3"/>
    <sheet name="Dashboard" sheetId="2" state="visible" r:id="rId4"/>
    <sheet name="Audit" sheetId="3" state="visible" r:id="rId5"/>
    <sheet name="Revision_Log" sheetId="4" state="visible" r:id="rId6"/>
    <sheet name="Dynamic Calendar" sheetId="5" state="visible" r:id="rId7"/>
    <sheet name="Recap" sheetId="6" state="visible" r:id="rId8"/>
  </sheets>
  <definedNames>
    <definedName function="false" hidden="false" name="o_70hr_remaining" vbProcedure="false">'Engine Room'!$B$63</definedName>
    <definedName function="false" hidden="false" name="o_eta_ideal" vbProcedure="false">'Engine Room'!$B$56</definedName>
    <definedName function="false" hidden="false" name="o_eta_real" vbProcedure="false">'Engine Room'!$B$57</definedName>
    <definedName function="false" hidden="false" name="o_setback_hours" vbProcedure="false">'Engine Room'!$B$58</definedName>
    <definedName function="false" hidden="false" name="p_avg_speed_mph" vbProcedure="false">'Engine Room'!$B$8</definedName>
    <definedName function="false" hidden="false" name="p_buffer_hours" vbProcedure="false">'Engine Room'!$B$9</definedName>
    <definedName function="false" hidden="false" name="p_daily_buffer_time_excel_days" vbProcedure="false">'Engine Room'!$B$27</definedName>
    <definedName function="false" hidden="false" name="p_daily_driving_time_excel_days" vbProcedure="false">'Engine Room'!$B$28</definedName>
    <definedName function="false" hidden="false" name="p_daily_health_breaks_excel_days" vbProcedure="false">'Engine Room'!$B$31</definedName>
    <definedName function="false" hidden="false" name="p_daily_mandatory_break_excel_days" vbProcedure="false">'Engine Room'!$B$30</definedName>
    <definedName function="false" hidden="false" name="p_daily_sleep_time_excel_days" vbProcedure="false">'Engine Room'!$B$29</definedName>
    <definedName function="false" hidden="false" name="p_days_of_travel" vbProcedure="false">'Engine Room'!$B$21</definedName>
    <definedName function="false" hidden="false" name="p_fractional_days" vbProcedure="false">'Engine Room'!$B$23</definedName>
    <definedName function="false" hidden="false" name="p_fractional_driving_time_excel_days" vbProcedure="false">'Engine Room'!$B$33</definedName>
    <definedName function="false" hidden="false" name="p_fractional_health_breaks_excel_days" vbProcedure="false">'Engine Room'!$B$35</definedName>
    <definedName function="false" hidden="false" name="p_fractional_mandatory_break_excel_days" vbProcedure="false">'Engine Room'!$B$34</definedName>
    <definedName function="false" hidden="false" name="p_full_days" vbProcedure="false">'Engine Room'!$B$22</definedName>
    <definedName function="false" hidden="false" name="p_full_day_total_time_excel_days" vbProcedure="false">'Engine Room'!$B$32</definedName>
    <definedName function="false" hidden="false" name="p_health_duration_minutes" vbProcedure="false">'Engine Room'!$B$14</definedName>
    <definedName function="false" hidden="false" name="p_health_interval_hours" vbProcedure="false">'Engine Room'!$B$13</definedName>
    <definedName function="false" hidden="false" name="p_hours_available" vbProcedure="false">'Engine Room'!$B$16</definedName>
    <definedName function="false" hidden="false" name="p_ideal_drive_hours" vbProcedure="false">'Engine Room'!$B$10</definedName>
    <definedName function="false" hidden="false" name="p_real_daily_driving_time_excel_days" vbProcedure="false">'Engine Room'!$B$47</definedName>
    <definedName function="false" hidden="false" name="p_real_daily_health_breaks_excel_days" vbProcedure="false">'Engine Room'!$B$48</definedName>
    <definedName function="false" hidden="false" name="p_real_days_of_travel_days" vbProcedure="false">'Engine Room'!$B$41</definedName>
    <definedName function="false" hidden="false" name="p_real_drive_hours" vbProcedure="false">'Engine Room'!$B$40</definedName>
    <definedName function="false" hidden="false" name="p_real_fractional_days" vbProcedure="false">'Engine Room'!$B$43</definedName>
    <definedName function="false" hidden="false" name="p_real_fractional_driving_time_excel_days" vbProcedure="false">'Engine Room'!$B$50</definedName>
    <definedName function="false" hidden="false" name="p_real_fractional_health_breaks_excel_days" vbProcedure="false">'Engine Room'!$B$52</definedName>
    <definedName function="false" hidden="false" name="p_real_fractional_mandatory_break_excel_days" vbProcedure="false">'Engine Room'!$B$51</definedName>
    <definedName function="false" hidden="false" name="p_real_full_days" vbProcedure="false">'Engine Room'!$B$42</definedName>
    <definedName function="false" hidden="false" name="p_real_full_day_total_time_excel_days" vbProcedure="false">'Engine Room'!$B$49</definedName>
    <definedName function="false" hidden="false" name="p_rest_break_minutes" vbProcedure="false">'Engine Room'!$B$12</definedName>
    <definedName function="false" hidden="false" name="p_sleep_break_hours" vbProcedure="false">'Engine Room'!$B$11</definedName>
    <definedName function="false" hidden="false" name="p_start_datetime" vbProcedure="false">'Engine Room'!$B$6</definedName>
    <definedName function="false" hidden="false" name="p_timezone_adjustment_excel_days" vbProcedure="false">'Engine Room'!$B$36</definedName>
    <definedName function="false" hidden="false" name="p_timezone_adjust_hours" vbProcedure="false">'Engine Room'!$B$15</definedName>
    <definedName function="false" hidden="false" name="p_total_miles" vbProcedure="false">'Engine Room'!$B$7</definedName>
    <definedName function="false" hidden="false" name="p_total_travel_time_hours" vbProcedure="false">'Engine Room'!$B$20</definedName>
    <definedName function="false" hidden="false" name="r_coming_back" vbProcedure="false">Recap!$D$17</definedName>
    <definedName function="false" hidden="false" name="r_hours_available" vbProcedure="false">Recap!$D$14</definedName>
    <definedName function="false" hidden="false" name="r_total_7days" vbProcedure="false">Recap!$D$12</definedName>
    <definedName function="false" hidden="false" name="w_14hr_duty_time" vbProcedure="false">'Engine Room'!$B$61</definedName>
    <definedName function="false" hidden="false" name="w_14hr_violation" vbProcedure="false">'Engine Room'!$B$62</definedName>
    <definedName function="false" hidden="false" name="w_70hr_low" vbProcedure="false">'Engine Room'!$B$64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<sst xmlns="http://schemas.openxmlformats.org/spreadsheetml/2006/main" count="164" uniqueCount="159">
  <si>
    <t xml:space="preserve">🔧 ENGINE ROOM - All Parameters &amp; Helper Functions</t>
  </si>
  <si>
    <t xml:space="preserve">Parameter Name</t>
  </si>
  <si>
    <t xml:space="preserve">Value</t>
  </si>
  <si>
    <t xml:space="preserve">Description</t>
  </si>
  <si>
    <t xml:space="preserve">Readable</t>
  </si>
  <si>
    <t xml:space="preserve">--- INPUT PARAMETERS ---</t>
  </si>
  <si>
    <t xml:space="preserve">p_start_datetime</t>
  </si>
  <si>
    <t xml:space="preserve">2025-12-25 02:24</t>
  </si>
  <si>
    <t xml:space="preserve">When you roll (departure time)</t>
  </si>
  <si>
    <t xml:space="preserve">p_total_miles</t>
  </si>
  <si>
    <t xml:space="preserve">Total trip miles</t>
  </si>
  <si>
    <t xml:space="preserve">p_avg_speed_mph</t>
  </si>
  <si>
    <t xml:space="preserve">Average speed (mph)</t>
  </si>
  <si>
    <t xml:space="preserve">p_buffer_hours</t>
  </si>
  <si>
    <t xml:space="preserve">Fudge factor per day (traffic, delays)</t>
  </si>
  <si>
    <t xml:space="preserve">p_ideal_drive_hours</t>
  </si>
  <si>
    <t xml:space="preserve">Hours you WANT to drive per day</t>
  </si>
  <si>
    <t xml:space="preserve">p_sleep_break_hours</t>
  </si>
  <si>
    <t xml:space="preserve">10-hour sleeper break (DOT required)</t>
  </si>
  <si>
    <t xml:space="preserve">p_rest_break_minutes</t>
  </si>
  <si>
    <t xml:space="preserve">30-minute mandatory break (DOT required)</t>
  </si>
  <si>
    <t xml:space="preserve">p_health_interval_hours</t>
  </si>
  <si>
    <t xml:space="preserve">Hours between health breaks</t>
  </si>
  <si>
    <t xml:space="preserve">p_health_duration_minutes</t>
  </si>
  <si>
    <t xml:space="preserve">Health break duration (minutes)</t>
  </si>
  <si>
    <t xml:space="preserve">p_timezone_adjust_hours</t>
  </si>
  <si>
    <t xml:space="preserve">Timezone adjustment hours (+ eastward)</t>
  </si>
  <si>
    <t xml:space="preserve">p_hours_available</t>
  </si>
  <si>
    <t xml:space="preserve">Hours available on 70-hour clock</t>
  </si>
  <si>
    <t xml:space="preserve">--- BASIC CALCULATIONS ---</t>
  </si>
  <si>
    <t xml:space="preserve">p_total_travel_time_hours</t>
  </si>
  <si>
    <t xml:space="preserve">Total driving time (hours)</t>
  </si>
  <si>
    <t xml:space="preserve">p_days_of_travel</t>
  </si>
  <si>
    <t xml:space="preserve">Days at ideal pace</t>
  </si>
  <si>
    <t xml:space="preserve">p_full_days</t>
  </si>
  <si>
    <t xml:space="preserve">Complete days of travel</t>
  </si>
  <si>
    <t xml:space="preserve">p_fractional_days</t>
  </si>
  <si>
    <t xml:space="preserve">Leftover partial day fraction</t>
  </si>
  <si>
    <t xml:space="preserve">--- IDEAL ETA HELPERS ---</t>
  </si>
  <si>
    <t xml:space="preserve">p_daily_buffer_time_excel_days</t>
  </si>
  <si>
    <t xml:space="preserve">Daily buffer as Excel day-fraction</t>
  </si>
  <si>
    <t xml:space="preserve">p_daily_driving_time_excel_days</t>
  </si>
  <si>
    <t xml:space="preserve">Daily driving as Excel day-fraction</t>
  </si>
  <si>
    <t xml:space="preserve">p_daily_sleep_time_excel_days</t>
  </si>
  <si>
    <t xml:space="preserve">Daily sleep as Excel day-fraction</t>
  </si>
  <si>
    <t xml:space="preserve">p_daily_mandatory_break_excel_days</t>
  </si>
  <si>
    <t xml:space="preserve">Daily mandatory break as Excel day-fraction</t>
  </si>
  <si>
    <t xml:space="preserve">p_daily_health_breaks_excel_days</t>
  </si>
  <si>
    <t xml:space="preserve">Daily health breaks as Excel day-fraction</t>
  </si>
  <si>
    <t xml:space="preserve">p_full_day_total_time_excel_days</t>
  </si>
  <si>
    <t xml:space="preserve">Total time per complete day (Excel days)</t>
  </si>
  <si>
    <t xml:space="preserve">p_fractional_driving_time_excel_days</t>
  </si>
  <si>
    <t xml:space="preserve">Fractional day driving time (Excel days)</t>
  </si>
  <si>
    <t xml:space="preserve">p_fractional_mandatory_break_excel_days</t>
  </si>
  <si>
    <t xml:space="preserve">Fractional day mandatory break (Excel days)</t>
  </si>
  <si>
    <t xml:space="preserve">p_fractional_health_breaks_excel_days</t>
  </si>
  <si>
    <t xml:space="preserve">Fractional day health breaks (Excel days)</t>
  </si>
  <si>
    <t xml:space="preserve">p_timezone_adjustment_excel_days</t>
  </si>
  <si>
    <t xml:space="preserve">Timezone as Excel day-fraction</t>
  </si>
  <si>
    <t xml:space="preserve">--- REAL HOURS CALCULATIONS ---</t>
  </si>
  <si>
    <t xml:space="preserve">p_real_drive_hours</t>
  </si>
  <si>
    <t xml:space="preserve">Real achievable hours (14hr clock constrained)</t>
  </si>
  <si>
    <t xml:space="preserve">p_real_days_of_travel_days</t>
  </si>
  <si>
    <t xml:space="preserve">Days with real hours constraint</t>
  </si>
  <si>
    <t xml:space="preserve">p_real_full_days</t>
  </si>
  <si>
    <t xml:space="preserve">Complete days with real constraint</t>
  </si>
  <si>
    <t xml:space="preserve">p_real_fractional_days</t>
  </si>
  <si>
    <t xml:space="preserve">Leftover partial day with real constraint</t>
  </si>
  <si>
    <t xml:space="preserve">--- REAL ETA HELPERS ---</t>
  </si>
  <si>
    <t xml:space="preserve">p_real_daily_driving_time_excel_days</t>
  </si>
  <si>
    <t xml:space="preserve">Real daily driving as Excel day-fraction</t>
  </si>
  <si>
    <t xml:space="preserve">p_real_daily_health_breaks_excel_days</t>
  </si>
  <si>
    <t xml:space="preserve">Real daily health breaks (Excel days)</t>
  </si>
  <si>
    <t xml:space="preserve">p_real_full_day_total_time_excel_days</t>
  </si>
  <si>
    <t xml:space="preserve">Real total time per complete day (Excel days)</t>
  </si>
  <si>
    <t xml:space="preserve">p_real_fractional_driving_time_excel_days</t>
  </si>
  <si>
    <t xml:space="preserve">Real fractional day driving (Excel days)</t>
  </si>
  <si>
    <t xml:space="preserve">p_real_fractional_mandatory_break_excel_days</t>
  </si>
  <si>
    <t xml:space="preserve">Real fractional day mandatory break (Excel days)</t>
  </si>
  <si>
    <t xml:space="preserve">p_real_fractional_health_breaks_excel_days</t>
  </si>
  <si>
    <t xml:space="preserve">Real fractional day health breaks (Excel days)</t>
  </si>
  <si>
    <t xml:space="preserve">--- OUTPUT CALCULATIONS ---</t>
  </si>
  <si>
    <t xml:space="preserve">o_eta_ideal</t>
  </si>
  <si>
    <t xml:space="preserve">Arrival time (ideal scenario)</t>
  </si>
  <si>
    <t xml:space="preserve">o_eta_real</t>
  </si>
  <si>
    <t xml:space="preserve">Arrival time (with clock compression)</t>
  </si>
  <si>
    <t xml:space="preserve">o_setback_hours</t>
  </si>
  <si>
    <t xml:space="preserve">Hours of delay (Real - Ideal)</t>
  </si>
  <si>
    <t xml:space="preserve">--- WARNINGS &amp; ALERTS ---</t>
  </si>
  <si>
    <t xml:space="preserve">w_14hr_duty_time</t>
  </si>
  <si>
    <t xml:space="preserve">Total duty time for 14-hr clock check</t>
  </si>
  <si>
    <t xml:space="preserve">w_14hr_violation</t>
  </si>
  <si>
    <t xml:space="preserve">Flags if duty period exceeds 14 hours</t>
  </si>
  <si>
    <t xml:space="preserve">o_70hr_remaining</t>
  </si>
  <si>
    <t xml:space="preserve">Hours left on 70-hr clock after this trip</t>
  </si>
  <si>
    <t xml:space="preserve">w_70hr_low</t>
  </si>
  <si>
    <t xml:space="preserve">Warning if 70-hr clock is running low</t>
  </si>
  <si>
    <t xml:space="preserve">🚛 CRYSTAL BALL DASHBOARD</t>
  </si>
  <si>
    <t xml:space="preserve">--- TRIP INPUTS ---</t>
  </si>
  <si>
    <t xml:space="preserve">Start Date/Time:</t>
  </si>
  <si>
    <t xml:space="preserve">Total Miles:</t>
  </si>
  <si>
    <t xml:space="preserve">Average Speed (mph):</t>
  </si>
  <si>
    <t xml:space="preserve">Buffer Hours/Day:</t>
  </si>
  <si>
    <t xml:space="preserve">--- CALCULATED RESULTS ---</t>
  </si>
  <si>
    <t xml:space="preserve">Trip Hours:</t>
  </si>
  <si>
    <t xml:space="preserve">Days of Travel (Ideal):</t>
  </si>
  <si>
    <t xml:space="preserve">Ideal Drive Hours/Day:</t>
  </si>
  <si>
    <t xml:space="preserve">Real Drive Hours/Day:</t>
  </si>
  <si>
    <t xml:space="preserve">Setback (hrs):</t>
  </si>
  <si>
    <t xml:space="preserve">--- ETA RESULTS ---</t>
  </si>
  <si>
    <t xml:space="preserve">ETA (Ideal - Best Case):</t>
  </si>
  <si>
    <t xml:space="preserve">ETA (Real - With Delays):</t>
  </si>
  <si>
    <t xml:space="preserve">--- 70-HOUR CLOCK ---</t>
  </si>
  <si>
    <t xml:space="preserve">70-Hr Remaining:</t>
  </si>
  <si>
    <t xml:space="preserve">Clock Status:</t>
  </si>
  <si>
    <t xml:space="preserve">🔍 SYSTEM AUDIT</t>
  </si>
  <si>
    <t xml:space="preserve">Parameter</t>
  </si>
  <si>
    <t xml:space="preserve">Expected</t>
  </si>
  <si>
    <t xml:space="preserve">Actual</t>
  </si>
  <si>
    <t xml:space="preserve">Status</t>
  </si>
  <si>
    <t xml:space="preserve">Sleep Break</t>
  </si>
  <si>
    <t xml:space="preserve">Rest Break (mins)</t>
  </si>
  <si>
    <t xml:space="preserve">Health Interval</t>
  </si>
  <si>
    <t xml:space="preserve">Health Duration</t>
  </si>
  <si>
    <t xml:space="preserve">Ideal Hours</t>
  </si>
  <si>
    <t xml:space="preserve">Version</t>
  </si>
  <si>
    <t xml:space="preserve">Date</t>
  </si>
  <si>
    <t xml:space="preserve">Notes</t>
  </si>
  <si>
    <t xml:space="preserve">FP012</t>
  </si>
  <si>
    <t xml:space="preserve">Engine Room + Dashboard architecture</t>
  </si>
  <si>
    <t xml:space="preserve">Modular helpers, English formulas, bulletproof design</t>
  </si>
  <si>
    <t xml:space="preserve">FP013</t>
  </si>
  <si>
    <t xml:space="preserve">Unit-explicit parameter naming</t>
  </si>
  <si>
    <t xml:space="preserve">All parameters now include units (_hours, _minutes, _excel_days)</t>
  </si>
  <si>
    <t xml:space="preserve">FP013b</t>
  </si>
  <si>
    <t xml:space="preserve">Added Recap (7-day) + Dynamic Calendar tabs</t>
  </si>
  <si>
    <t xml:space="preserve">Syncs with start datetime, shows daily breakdown</t>
  </si>
  <si>
    <t xml:space="preserve">FP014b</t>
  </si>
  <si>
    <t xml:space="preserve">Added 70-hour clock remaining</t>
  </si>
  <si>
    <t xml:space="preserve">Shows hours left on 70-hr clock after trip + low clock warning</t>
  </si>
  <si>
    <t xml:space="preserve">FP014c</t>
  </si>
  <si>
    <t xml:space="preserve">Rebuilt Recap tab - Emil style</t>
  </si>
  <si>
    <t xml:space="preserve">Oldest at top, today at bottom, DRIVING + TOTAL only, shows recaps coming back</t>
  </si>
  <si>
    <t xml:space="preserve">📅 DYNAMIC CALENDAR</t>
  </si>
  <si>
    <t xml:space="preserve">Trip Start:</t>
  </si>
  <si>
    <t xml:space="preserve">Trip End (Ideal):</t>
  </si>
  <si>
    <t xml:space="preserve">Trip End (Real):</t>
  </si>
  <si>
    <t xml:space="preserve">--- WEEK VIEW (Starting from departure) ---</t>
  </si>
  <si>
    <t xml:space="preserve">Day</t>
  </si>
  <si>
    <t xml:space="preserve">Day Name</t>
  </si>
  <si>
    <t xml:space="preserve">🔄 HOS RECAP - 70hr/8day Cycle</t>
  </si>
  <si>
    <t xml:space="preserve">DRIVING</t>
  </si>
  <si>
    <t xml:space="preserve">TOTAL</t>
  </si>
  <si>
    <t xml:space="preserve">Gets Back At Midnight</t>
  </si>
  <si>
    <t xml:space="preserve">TOTAL 7 DAYS (On Duty)</t>
  </si>
  <si>
    <t xml:space="preserve">70-HOUR LIMIT</t>
  </si>
  <si>
    <t xml:space="preserve">HOURS AVAILABLE</t>
  </si>
  <si>
    <t xml:space="preserve">--- COMING BACK TO YOU ---</t>
  </si>
  <si>
    <t xml:space="preserve">Tonight at midnight you get back: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</si>
</sst>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\ hh:mm"/>
    <numFmt numFmtId="166" formatCode="0.00"/>
    <numFmt numFmtId="167" formatCode="General"/>
    <numFmt numFmtId="168" formatCode="mm/dd/yy\ hh:mm\ AM/PM"/>
    <numFmt numFmtId="169" formatCode="dddd&quot;, &quot;mmmm\ d&quot;, &quot;yyyy\ h:mm\ AM/PM"/>
    <numFmt numFmtId="170" formatCode="mm/dd/yyyy"/>
    <numFmt numFmtId="171" formatCode="mmm\ dd"/>
    <numFmt numFmtId="172" formatCode="0.00&quot; hrs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008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6F3FF"/>
        <bgColor rgb="FFF0F8E6"/>
      </patternFill>
    </fill>
    <fill>
      <patternFill patternType="solid">
        <fgColor rgb="FFF0F8E6"/>
        <bgColor rgb="FFE6F3FF"/>
      </patternFill>
    </fill>
    <fill>
      <patternFill patternType="solid">
        <fgColor rgb="FF90EE90"/>
        <bgColor rgb="FFD4F8D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0F8E6"/>
      </patternFill>
    </fill>
    <fill>
      <patternFill patternType="solid">
        <fgColor rgb="FFD4F8D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0F8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F8D4"/>
      <rgbColor rgb="FFFFFF99"/>
      <rgbColor rgb="FF90EE9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sheetData>
    <row r="1" customFormat="false" ht="17.25" hidden="false" customHeight="tru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3" t="s">
        <v>4</v>
      </c>
    </row>
    <row r="5" customFormat="false" ht="15" hidden="false" customHeight="true" outlineLevel="0" collapsed="false">
      <c r="A5" s="2" t="s">
        <v>5</v>
      </c>
    </row>
    <row r="6" customFormat="false" ht="15" hidden="false" customHeight="true" outlineLevel="0" collapsed="false">
      <c r="A6" s="4" t="s">
        <v>6</v>
      </c>
      <c r="B6" s="4" t="s">
        <v>7</v>
      </c>
      <c r="C6" s="4" t="s">
        <v>8</v>
      </c>
    </row>
    <row r="7" customFormat="false" ht="15" hidden="false" customHeight="true" outlineLevel="0" collapsed="false">
      <c r="A7" s="4" t="s">
        <v>9</v>
      </c>
      <c r="B7" s="4" t="n">
        <v>474</v>
      </c>
      <c r="C7" s="4" t="s">
        <v>10</v>
      </c>
    </row>
    <row r="8" customFormat="false" ht="15" hidden="false" customHeight="true" outlineLevel="0" collapsed="false">
      <c r="A8" s="4" t="s">
        <v>11</v>
      </c>
      <c r="B8" s="4" t="n">
        <v>50</v>
      </c>
      <c r="C8" s="4" t="s">
        <v>12</v>
      </c>
    </row>
    <row r="9" customFormat="false" ht="15" hidden="false" customHeight="true" outlineLevel="0" collapsed="false">
      <c r="A9" s="4" t="s">
        <v>13</v>
      </c>
      <c r="B9" s="4" t="n">
        <v>0.5</v>
      </c>
      <c r="C9" s="4" t="s">
        <v>14</v>
      </c>
    </row>
    <row r="10" customFormat="false" ht="15" hidden="false" customHeight="true" outlineLevel="0" collapsed="false">
      <c r="A10" s="4" t="s">
        <v>15</v>
      </c>
      <c r="B10" s="4" t="n">
        <v>10</v>
      </c>
      <c r="C10" s="4" t="s">
        <v>16</v>
      </c>
    </row>
    <row r="11" customFormat="false" ht="15" hidden="false" customHeight="true" outlineLevel="0" collapsed="false">
      <c r="A11" s="4" t="s">
        <v>17</v>
      </c>
      <c r="B11" s="4" t="n">
        <v>10</v>
      </c>
      <c r="C11" s="4" t="s">
        <v>18</v>
      </c>
    </row>
    <row r="12" customFormat="false" ht="15" hidden="false" customHeight="true" outlineLevel="0" collapsed="false">
      <c r="A12" s="4" t="s">
        <v>19</v>
      </c>
      <c r="B12" s="4" t="n">
        <v>30</v>
      </c>
      <c r="C12" s="4" t="s">
        <v>20</v>
      </c>
    </row>
    <row r="13" customFormat="false" ht="15" hidden="false" customHeight="true" outlineLevel="0" collapsed="false">
      <c r="A13" s="4" t="s">
        <v>21</v>
      </c>
      <c r="B13" s="4" t="n">
        <v>3</v>
      </c>
      <c r="C13" s="4" t="s">
        <v>22</v>
      </c>
    </row>
    <row r="14" customFormat="false" ht="15" hidden="false" customHeight="true" outlineLevel="0" collapsed="false">
      <c r="A14" s="4" t="s">
        <v>23</v>
      </c>
      <c r="B14" s="4" t="n">
        <v>15</v>
      </c>
      <c r="C14" s="4" t="s">
        <v>24</v>
      </c>
    </row>
    <row r="15" customFormat="false" ht="15" hidden="false" customHeight="true" outlineLevel="0" collapsed="false">
      <c r="A15" s="4" t="s">
        <v>25</v>
      </c>
      <c r="B15" s="4" t="n">
        <v>0</v>
      </c>
      <c r="C15" s="4" t="s">
        <v>26</v>
      </c>
    </row>
    <row r="16" customFormat="false" ht="15" hidden="false" customHeight="true" outlineLevel="0" collapsed="false">
      <c r="A16" s="4" t="s">
        <v>27</v>
      </c>
      <c r="B16" s="4" t="n">
        <v>70</v>
      </c>
      <c r="C16" s="4" t="s">
        <v>28</v>
      </c>
    </row>
    <row r="19" customFormat="false" ht="15" hidden="false" customHeight="true" outlineLevel="0" collapsed="false">
      <c r="A19" s="2" t="s">
        <v>29</v>
      </c>
    </row>
    <row r="20" customFormat="false" ht="15" hidden="false" customHeight="true" outlineLevel="0" collapsed="false">
      <c r="A20" s="5" t="s">
        <v>30</v>
      </c>
      <c r="B20" s="5" t="n">
        <f aca="false">p_total_miles/p_avg_speed_mph</f>
        <v>9.48</v>
      </c>
      <c r="C20" s="5" t="s">
        <v>31</v>
      </c>
    </row>
    <row r="21" customFormat="false" ht="15" hidden="false" customHeight="true" outlineLevel="0" collapsed="false">
      <c r="A21" s="5" t="s">
        <v>32</v>
      </c>
      <c r="B21" s="5" t="n">
        <f aca="false">p_total_travel_time_hours/p_ideal_drive_hours</f>
        <v>0.948</v>
      </c>
      <c r="C21" s="5" t="s">
        <v>33</v>
      </c>
    </row>
    <row r="22" customFormat="false" ht="15" hidden="false" customHeight="true" outlineLevel="0" collapsed="false">
      <c r="A22" s="5" t="s">
        <v>34</v>
      </c>
      <c r="B22" s="5" t="n">
        <f aca="false">INT(p_days_of_travel)</f>
        <v>0</v>
      </c>
      <c r="C22" s="5" t="s">
        <v>35</v>
      </c>
    </row>
    <row r="23" customFormat="false" ht="15" hidden="false" customHeight="true" outlineLevel="0" collapsed="false">
      <c r="A23" s="5" t="s">
        <v>36</v>
      </c>
      <c r="B23" s="5" t="n">
        <f aca="false">p_days_of_travel-p_full_days</f>
        <v>0.948</v>
      </c>
      <c r="C23" s="5" t="s">
        <v>37</v>
      </c>
    </row>
    <row r="26" customFormat="false" ht="15" hidden="false" customHeight="true" outlineLevel="0" collapsed="false">
      <c r="A26" s="2" t="s">
        <v>38</v>
      </c>
    </row>
    <row r="27" customFormat="false" ht="15" hidden="false" customHeight="true" outlineLevel="0" collapsed="false">
      <c r="A27" s="5" t="s">
        <v>39</v>
      </c>
      <c r="B27" s="5" t="n">
        <f aca="false">p_buffer_hours/24</f>
        <v>0.0208333333333333</v>
      </c>
      <c r="C27" s="5" t="s">
        <v>40</v>
      </c>
      <c r="D27" s="6" t="str">
        <f aca="false">TEXT(B27*24, "0.00") &amp; " hrs"</f>
        <v>0.50 hrs</v>
      </c>
    </row>
    <row r="28" customFormat="false" ht="15" hidden="false" customHeight="true" outlineLevel="0" collapsed="false">
      <c r="A28" s="5" t="s">
        <v>41</v>
      </c>
      <c r="B28" s="5" t="n">
        <f aca="false">p_ideal_drive_hours/24</f>
        <v>0.416666666666667</v>
      </c>
      <c r="C28" s="5" t="s">
        <v>42</v>
      </c>
      <c r="D28" s="6" t="str">
        <f aca="false">TEXT(B28*24, "0.00") &amp; " hrs"</f>
        <v>10.00 hrs</v>
      </c>
    </row>
    <row r="29" customFormat="false" ht="15" hidden="false" customHeight="true" outlineLevel="0" collapsed="false">
      <c r="A29" s="5" t="s">
        <v>43</v>
      </c>
      <c r="B29" s="5" t="n">
        <f aca="false">p_sleep_break_hours/24</f>
        <v>0.416666666666667</v>
      </c>
      <c r="C29" s="5" t="s">
        <v>44</v>
      </c>
      <c r="D29" s="6" t="str">
        <f aca="false">TEXT(B29*24, "0.00") &amp; " hrs"</f>
        <v>10.00 hrs</v>
      </c>
    </row>
    <row r="30" customFormat="false" ht="15" hidden="false" customHeight="true" outlineLevel="0" collapsed="false">
      <c r="A30" s="5" t="s">
        <v>45</v>
      </c>
      <c r="B30" s="5" t="n">
        <f aca="false">p_rest_break_minutes/(60*24)</f>
        <v>0.0208333333333333</v>
      </c>
      <c r="C30" s="5" t="s">
        <v>46</v>
      </c>
      <c r="D30" s="6" t="str">
        <f aca="false">TEXT(B30*24*60, "0") &amp; " min"</f>
        <v>30 min</v>
      </c>
    </row>
    <row r="31" customFormat="false" ht="15" hidden="false" customHeight="true" outlineLevel="0" collapsed="false">
      <c r="A31" s="5" t="s">
        <v>47</v>
      </c>
      <c r="B31" s="5" t="n">
        <f aca="false">INT(p_ideal_drive_hours/p_health_interval_hours)*p_health_duration_minutes/(60*24)</f>
        <v>0.03125</v>
      </c>
      <c r="C31" s="5" t="s">
        <v>48</v>
      </c>
      <c r="D31" s="6" t="str">
        <f aca="false">TEXT(B31*24*60, "0") &amp; " min"</f>
        <v>45 min</v>
      </c>
    </row>
    <row r="32" customFormat="false" ht="15" hidden="false" customHeight="true" outlineLevel="0" collapsed="false">
      <c r="A32" s="5" t="s">
        <v>49</v>
      </c>
      <c r="B32" s="5" t="n">
        <f aca="false">p_daily_buffer_time_excel_days+p_daily_driving_time_excel_days+p_daily_sleep_time_excel_days+p_daily_mandatory_break_excel_days+p_daily_health_breaks_excel_days</f>
        <v>0.90625</v>
      </c>
      <c r="C32" s="5" t="s">
        <v>50</v>
      </c>
      <c r="D32" s="6" t="str">
        <f aca="false">TEXT(B32*24, "0.00") &amp; " hrs"</f>
        <v>21.75 hrs</v>
      </c>
    </row>
    <row r="33" customFormat="false" ht="15" hidden="false" customHeight="true" outlineLevel="0" collapsed="false">
      <c r="A33" s="5" t="s">
        <v>51</v>
      </c>
      <c r="B33" s="5" t="n">
        <f aca="false">p_fractional_days*p_ideal_drive_hours/24</f>
        <v>0.395</v>
      </c>
      <c r="C33" s="5" t="s">
        <v>52</v>
      </c>
      <c r="D33" s="6" t="str">
        <f aca="false">TEXT(B33*24, "0.00") &amp; " hrs"</f>
        <v>9.48 hrs</v>
      </c>
    </row>
    <row r="34" customFormat="false" ht="15" hidden="false" customHeight="true" outlineLevel="0" collapsed="false">
      <c r="A34" s="5" t="s">
        <v>53</v>
      </c>
      <c r="B34" s="5" t="n">
        <f aca="false">IF(p_fractional_driving_time_excel_days&gt;8/24,p_rest_break_minutes/(60*24),0)</f>
        <v>0.0208333333333333</v>
      </c>
      <c r="C34" s="5" t="s">
        <v>54</v>
      </c>
      <c r="D34" s="6" t="str">
        <f aca="false">TEXT(B34*24*60, "0") &amp; " min"</f>
        <v>30 min</v>
      </c>
    </row>
    <row r="35" customFormat="false" ht="15" hidden="false" customHeight="true" outlineLevel="0" collapsed="false">
      <c r="A35" s="5" t="s">
        <v>55</v>
      </c>
      <c r="B35" s="5" t="n">
        <f aca="false">INT(p_fractional_days*p_ideal_drive_hours/p_health_interval_hours)*p_health_duration_minutes/(60*24)</f>
        <v>0.03125</v>
      </c>
      <c r="C35" s="5" t="s">
        <v>56</v>
      </c>
      <c r="D35" s="6" t="str">
        <f aca="false">TEXT(B35*24*60, "0") &amp; " min"</f>
        <v>45 min</v>
      </c>
    </row>
    <row r="36" customFormat="false" ht="15" hidden="false" customHeight="true" outlineLevel="0" collapsed="false">
      <c r="A36" s="5" t="s">
        <v>57</v>
      </c>
      <c r="B36" s="5" t="n">
        <f aca="false">p_timezone_adjust_hours/24</f>
        <v>0</v>
      </c>
      <c r="C36" s="5" t="s">
        <v>58</v>
      </c>
    </row>
    <row r="39" customFormat="false" ht="15" hidden="false" customHeight="true" outlineLevel="0" collapsed="false">
      <c r="A39" s="2" t="s">
        <v>59</v>
      </c>
    </row>
    <row r="40" customFormat="false" ht="15" hidden="false" customHeight="true" outlineLevel="0" collapsed="false">
      <c r="A40" s="5" t="s">
        <v>60</v>
      </c>
      <c r="B40" s="5" t="n">
        <f aca="false">MIN(p_ideal_drive_hours, 14 - p_rest_break_minutes/60 - INT(p_ideal_drive_hours/p_health_interval_hours)*p_health_duration_minutes/60 - p_buffer_hours)</f>
        <v>10</v>
      </c>
      <c r="C40" s="5" t="s">
        <v>61</v>
      </c>
    </row>
    <row r="41" customFormat="false" ht="15" hidden="false" customHeight="true" outlineLevel="0" collapsed="false">
      <c r="A41" s="5" t="s">
        <v>62</v>
      </c>
      <c r="B41" s="5" t="n">
        <f aca="false">p_total_travel_time_hours/p_real_drive_hours</f>
        <v>0.948</v>
      </c>
      <c r="C41" s="5" t="s">
        <v>63</v>
      </c>
    </row>
    <row r="42" customFormat="false" ht="15" hidden="false" customHeight="true" outlineLevel="0" collapsed="false">
      <c r="A42" s="5" t="s">
        <v>64</v>
      </c>
      <c r="B42" s="5" t="n">
        <f aca="false">INT(p_real_days_of_travel_days)</f>
        <v>0</v>
      </c>
      <c r="C42" s="5" t="s">
        <v>65</v>
      </c>
    </row>
    <row r="43" customFormat="false" ht="15" hidden="false" customHeight="true" outlineLevel="0" collapsed="false">
      <c r="A43" s="5" t="s">
        <v>66</v>
      </c>
      <c r="B43" s="5" t="n">
        <f aca="false">p_real_days_of_travel_days-p_real_full_days</f>
        <v>0.948</v>
      </c>
      <c r="C43" s="5" t="s">
        <v>67</v>
      </c>
    </row>
    <row r="46" customFormat="false" ht="15" hidden="false" customHeight="true" outlineLevel="0" collapsed="false">
      <c r="A46" s="2" t="s">
        <v>68</v>
      </c>
    </row>
    <row r="47" customFormat="false" ht="15" hidden="false" customHeight="true" outlineLevel="0" collapsed="false">
      <c r="A47" s="5" t="s">
        <v>69</v>
      </c>
      <c r="B47" s="5" t="n">
        <f aca="false">p_real_drive_hours/24</f>
        <v>0.416666666666667</v>
      </c>
      <c r="C47" s="5" t="s">
        <v>70</v>
      </c>
    </row>
    <row r="48" customFormat="false" ht="15" hidden="false" customHeight="true" outlineLevel="0" collapsed="false">
      <c r="A48" s="5" t="s">
        <v>71</v>
      </c>
      <c r="B48" s="5" t="n">
        <f aca="false">INT(p_real_drive_hours/p_health_interval_hours)*p_health_duration_minutes/(60*24)</f>
        <v>0.03125</v>
      </c>
      <c r="C48" s="5" t="s">
        <v>72</v>
      </c>
    </row>
    <row r="49" customFormat="false" ht="15" hidden="false" customHeight="true" outlineLevel="0" collapsed="false">
      <c r="A49" s="5" t="s">
        <v>73</v>
      </c>
      <c r="B49" s="5" t="n">
        <f aca="false">p_daily_buffer_time_excel_days+p_real_daily_driving_time_excel_days+p_daily_sleep_time_excel_days+p_daily_mandatory_break_excel_days+p_real_daily_health_breaks_excel_days</f>
        <v>0.90625</v>
      </c>
      <c r="C49" s="5" t="s">
        <v>74</v>
      </c>
    </row>
    <row r="50" customFormat="false" ht="15" hidden="false" customHeight="true" outlineLevel="0" collapsed="false">
      <c r="A50" s="5" t="s">
        <v>75</v>
      </c>
      <c r="B50" s="5" t="n">
        <f aca="false">p_real_fractional_days*p_real_drive_hours/24</f>
        <v>0.395</v>
      </c>
      <c r="C50" s="5" t="s">
        <v>76</v>
      </c>
    </row>
    <row r="51" customFormat="false" ht="15" hidden="false" customHeight="true" outlineLevel="0" collapsed="false">
      <c r="A51" s="5" t="s">
        <v>77</v>
      </c>
      <c r="B51" s="5" t="n">
        <f aca="false">IF(p_real_fractional_driving_time_excel_days&gt;8/24,p_rest_break_minutes/(60*24),0)</f>
        <v>0.0208333333333333</v>
      </c>
      <c r="C51" s="5" t="s">
        <v>78</v>
      </c>
    </row>
    <row r="52" customFormat="false" ht="15" hidden="false" customHeight="true" outlineLevel="0" collapsed="false">
      <c r="A52" s="5" t="s">
        <v>79</v>
      </c>
      <c r="B52" s="5" t="n">
        <f aca="false">INT(p_real_fractional_days*p_real_drive_hours/p_health_interval_hours)*p_health_duration_minutes/(60*24)</f>
        <v>0.03125</v>
      </c>
      <c r="C52" s="5" t="s">
        <v>80</v>
      </c>
    </row>
    <row r="55" customFormat="false" ht="15" hidden="false" customHeight="true" outlineLevel="0" collapsed="false">
      <c r="A55" s="2" t="s">
        <v>81</v>
      </c>
    </row>
    <row r="56" customFormat="false" ht="15" hidden="false" customHeight="true" outlineLevel="0" collapsed="false">
      <c r="A56" s="7" t="s">
        <v>82</v>
      </c>
      <c r="B56" s="8" t="n">
        <f aca="false">p_start_datetime + p_full_days*p_full_day_total_time_excel_days + p_fractional_driving_time_excel_days + p_fractional_mandatory_break_excel_days + p_fractional_health_breaks_excel_days + p_daily_buffer_time_excel_days + p_timezone_adjustment_excel_days</f>
        <v>46016.5679166667</v>
      </c>
      <c r="C56" s="7" t="s">
        <v>83</v>
      </c>
    </row>
    <row r="57" customFormat="false" ht="15" hidden="false" customHeight="true" outlineLevel="0" collapsed="false">
      <c r="A57" s="7" t="s">
        <v>84</v>
      </c>
      <c r="B57" s="8" t="n">
        <f aca="false">p_start_datetime + p_real_full_days*p_real_full_day_total_time_excel_days + p_real_fractional_driving_time_excel_days + p_real_fractional_mandatory_break_excel_days + p_real_fractional_health_breaks_excel_days + p_daily_buffer_time_excel_days + p_timezone_adjustment_excel_days</f>
        <v>46016.5679166667</v>
      </c>
      <c r="C57" s="7" t="s">
        <v>85</v>
      </c>
    </row>
    <row r="58" customFormat="false" ht="15" hidden="false" customHeight="true" outlineLevel="0" collapsed="false">
      <c r="A58" s="7" t="s">
        <v>86</v>
      </c>
      <c r="B58" s="7" t="n">
        <f aca="false">(B57-B56)*24</f>
        <v>0</v>
      </c>
      <c r="C58" s="7" t="s">
        <v>87</v>
      </c>
    </row>
    <row r="60" customFormat="false" ht="15" hidden="false" customHeight="true" outlineLevel="0" collapsed="false">
      <c r="A60" s="3" t="s">
        <v>88</v>
      </c>
    </row>
    <row r="61" customFormat="false" ht="15" hidden="false" customHeight="true" outlineLevel="0" collapsed="false">
      <c r="A61" s="6" t="s">
        <v>89</v>
      </c>
      <c r="B61" s="6" t="n">
        <f aca="false">p_real_drive_hours + p_rest_break_minutes/60 + INT(p_real_drive_hours/p_health_interval_hours)*p_health_duration_minutes/60 + p_buffer_hours</f>
        <v>11.75</v>
      </c>
      <c r="C61" s="6" t="s">
        <v>90</v>
      </c>
      <c r="D61" s="6" t="str">
        <f aca="false">TEXT(B61, "0.00") &amp; " hrs"</f>
        <v>11.75 hrs</v>
      </c>
    </row>
    <row r="62" customFormat="false" ht="15" hidden="false" customHeight="true" outlineLevel="0" collapsed="false">
      <c r="A62" s="6" t="s">
        <v>91</v>
      </c>
      <c r="B62" s="9" t="str">
        <f aca="false">IF(w_14hr_duty_time &gt; 14, "⚠️ 14-HR VIOLATION!", "✓ OK")</f>
        <v>✓ OK</v>
      </c>
      <c r="C62" s="6" t="s">
        <v>92</v>
      </c>
    </row>
    <row r="63" customFormat="false" ht="15" hidden="false" customHeight="true" outlineLevel="0" collapsed="false">
      <c r="A63" s="6" t="s">
        <v>93</v>
      </c>
      <c r="B63" s="6" t="n">
        <f aca="false">p_hours_available - (p_total_travel_time_hours + p_buffer_hours + (p_rest_break_minutes/60) + (INT(p_total_travel_time_hours/p_health_interval_hours)*p_health_duration_minutes/60))</f>
        <v>58.77</v>
      </c>
      <c r="C63" s="6" t="s">
        <v>94</v>
      </c>
      <c r="D63" s="6" t="str">
        <f aca="false">TEXT(B63, "0.00") &amp; " hrs"</f>
        <v>58.77 hrs</v>
      </c>
    </row>
    <row r="64" customFormat="false" ht="15" hidden="false" customHeight="true" outlineLevel="0" collapsed="false">
      <c r="A64" s="6" t="s">
        <v>95</v>
      </c>
      <c r="B64" s="6" t="str">
        <f aca="false">IF(o_70hr_remaining &lt; 14, "⚠️ LOW CLOCK!", IF(o_70hr_remaining &lt; 24, "⏰ Watch your clock", "✓ Plenty of time"))</f>
        <v>✓ Plenty of time</v>
      </c>
      <c r="C64" s="6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7421875" defaultRowHeight="15" zeroHeight="false" outlineLevelRow="0" outlineLevelCol="0"/>
  <cols>
    <col collapsed="false" customWidth="true" hidden="false" outlineLevel="0" max="1" min="1" style="6" width="25.02"/>
    <col collapsed="false" customWidth="true" hidden="false" outlineLevel="0" max="2" min="2" style="6" width="20.05"/>
    <col collapsed="false" customWidth="true" hidden="false" outlineLevel="0" max="3" min="3" style="6" width="39.97"/>
  </cols>
  <sheetData>
    <row r="1" customFormat="false" ht="17.25" hidden="false" customHeight="true" outlineLevel="0" collapsed="false">
      <c r="A1" s="1" t="s">
        <v>97</v>
      </c>
    </row>
    <row r="3" customFormat="false" ht="15" hidden="false" customHeight="true" outlineLevel="0" collapsed="false">
      <c r="A3" s="2" t="s">
        <v>98</v>
      </c>
    </row>
    <row r="4" customFormat="false" ht="15" hidden="false" customHeight="true" outlineLevel="0" collapsed="false">
      <c r="A4" s="3" t="s">
        <v>99</v>
      </c>
      <c r="B4" s="10" t="str">
        <f aca="false">p_start_datetime</f>
        <v>2025-12-25 02:24</v>
      </c>
    </row>
    <row r="5" customFormat="false" ht="15" hidden="false" customHeight="true" outlineLevel="0" collapsed="false">
      <c r="A5" s="3" t="s">
        <v>100</v>
      </c>
      <c r="B5" s="6" t="n">
        <f aca="false">p_total_miles</f>
        <v>474</v>
      </c>
    </row>
    <row r="6" customFormat="false" ht="15" hidden="false" customHeight="true" outlineLevel="0" collapsed="false">
      <c r="A6" s="3" t="s">
        <v>101</v>
      </c>
      <c r="B6" s="6" t="n">
        <f aca="false">p_avg_speed_mph</f>
        <v>50</v>
      </c>
    </row>
    <row r="7" customFormat="false" ht="15" hidden="false" customHeight="true" outlineLevel="0" collapsed="false">
      <c r="A7" s="3" t="s">
        <v>102</v>
      </c>
      <c r="B7" s="6" t="n">
        <f aca="false">p_buffer_hours</f>
        <v>0.5</v>
      </c>
    </row>
    <row r="10" customFormat="false" ht="15" hidden="false" customHeight="true" outlineLevel="0" collapsed="false">
      <c r="A10" s="2" t="s">
        <v>103</v>
      </c>
    </row>
    <row r="11" customFormat="false" ht="15" hidden="false" customHeight="true" outlineLevel="0" collapsed="false">
      <c r="A11" s="3" t="s">
        <v>104</v>
      </c>
      <c r="B11" s="11" t="n">
        <f aca="false">p_total_travel_time_hours</f>
        <v>9.48</v>
      </c>
    </row>
    <row r="12" customFormat="false" ht="15" hidden="false" customHeight="true" outlineLevel="0" collapsed="false">
      <c r="A12" s="3" t="s">
        <v>105</v>
      </c>
      <c r="B12" s="11" t="n">
        <f aca="false">p_days_of_travel</f>
        <v>0.948</v>
      </c>
    </row>
    <row r="13" customFormat="false" ht="15" hidden="false" customHeight="true" outlineLevel="0" collapsed="false">
      <c r="A13" s="3" t="s">
        <v>106</v>
      </c>
      <c r="B13" s="12" t="n">
        <f aca="false">p_ideal_drive_hours</f>
        <v>10</v>
      </c>
    </row>
    <row r="14" customFormat="false" ht="15" hidden="false" customHeight="true" outlineLevel="0" collapsed="false">
      <c r="A14" s="3" t="s">
        <v>107</v>
      </c>
      <c r="B14" s="12" t="n">
        <f aca="false">p_real_drive_hours</f>
        <v>10</v>
      </c>
    </row>
    <row r="15" customFormat="false" ht="15" hidden="false" customHeight="true" outlineLevel="0" collapsed="false">
      <c r="A15" s="3" t="s">
        <v>108</v>
      </c>
      <c r="B15" s="11" t="n">
        <f aca="false">o_setback_hours</f>
        <v>0</v>
      </c>
    </row>
    <row r="18" customFormat="false" ht="15" hidden="false" customHeight="true" outlineLevel="0" collapsed="false">
      <c r="A18" s="2" t="s">
        <v>109</v>
      </c>
    </row>
    <row r="19" customFormat="false" ht="15" hidden="false" customHeight="true" outlineLevel="0" collapsed="false">
      <c r="A19" s="3" t="s">
        <v>110</v>
      </c>
      <c r="B19" s="13" t="n">
        <f aca="false">o_eta_ideal</f>
        <v>46016.5679166667</v>
      </c>
    </row>
    <row r="20" customFormat="false" ht="15" hidden="false" customHeight="true" outlineLevel="0" collapsed="false">
      <c r="A20" s="3" t="s">
        <v>111</v>
      </c>
      <c r="B20" s="13" t="n">
        <f aca="false">o_eta_real</f>
        <v>46016.5679166667</v>
      </c>
    </row>
    <row r="22" customFormat="false" ht="15" hidden="false" customHeight="true" outlineLevel="0" collapsed="false">
      <c r="A22" s="3" t="s">
        <v>112</v>
      </c>
    </row>
    <row r="23" customFormat="false" ht="15" hidden="false" customHeight="true" outlineLevel="0" collapsed="false">
      <c r="A23" s="6" t="s">
        <v>113</v>
      </c>
      <c r="B23" s="6" t="n">
        <f aca="false">o_70hr_remaining</f>
        <v>58.77</v>
      </c>
    </row>
    <row r="24" customFormat="false" ht="15" hidden="false" customHeight="true" outlineLevel="0" collapsed="false">
      <c r="A24" s="6" t="s">
        <v>114</v>
      </c>
      <c r="B24" s="6" t="str">
        <f aca="false">w_70hr_low</f>
        <v>✓ Plenty of time</v>
      </c>
    </row>
  </sheetData>
  <conditionalFormatting sqref="B1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sheetData>
    <row r="1" customFormat="false" ht="17.25" hidden="false" customHeight="true" outlineLevel="0" collapsed="false">
      <c r="A1" s="1" t="s">
        <v>115</v>
      </c>
    </row>
    <row r="3" customFormat="false" ht="15" hidden="false" customHeight="true" outlineLevel="0" collapsed="false">
      <c r="A3" s="3" t="s">
        <v>116</v>
      </c>
      <c r="B3" s="3" t="s">
        <v>117</v>
      </c>
      <c r="C3" s="3" t="s">
        <v>118</v>
      </c>
      <c r="D3" s="3" t="s">
        <v>119</v>
      </c>
    </row>
    <row r="4" customFormat="false" ht="15" hidden="false" customHeight="true" outlineLevel="0" collapsed="false">
      <c r="A4" s="6" t="s">
        <v>120</v>
      </c>
      <c r="B4" s="6" t="n">
        <v>10</v>
      </c>
      <c r="C4" s="6" t="n">
        <f aca="false">p_sleep_break_hours</f>
        <v>10</v>
      </c>
      <c r="D4" s="6" t="str">
        <f aca="false">IF(B4=C4,"✓","❌ DRIFT")</f>
        <v>✓</v>
      </c>
    </row>
    <row r="5" customFormat="false" ht="15" hidden="false" customHeight="true" outlineLevel="0" collapsed="false">
      <c r="A5" s="6" t="s">
        <v>121</v>
      </c>
      <c r="B5" s="6" t="n">
        <v>30</v>
      </c>
      <c r="C5" s="6" t="n">
        <f aca="false">p_rest_break_minutes</f>
        <v>30</v>
      </c>
      <c r="D5" s="6" t="str">
        <f aca="false">IF(B5=C5,"✓","❌ DRIFT")</f>
        <v>✓</v>
      </c>
    </row>
    <row r="6" customFormat="false" ht="15" hidden="false" customHeight="true" outlineLevel="0" collapsed="false">
      <c r="A6" s="6" t="s">
        <v>122</v>
      </c>
      <c r="B6" s="6" t="n">
        <v>3</v>
      </c>
      <c r="C6" s="6" t="n">
        <f aca="false">p_health_interval_hours</f>
        <v>3</v>
      </c>
      <c r="D6" s="6" t="str">
        <f aca="false">IF(B6=C6,"✓","❌ DRIFT")</f>
        <v>✓</v>
      </c>
    </row>
    <row r="7" customFormat="false" ht="15" hidden="false" customHeight="true" outlineLevel="0" collapsed="false">
      <c r="A7" s="6" t="s">
        <v>123</v>
      </c>
      <c r="B7" s="6" t="n">
        <v>15</v>
      </c>
      <c r="C7" s="6" t="n">
        <f aca="false">p_health_duration_minutes</f>
        <v>15</v>
      </c>
      <c r="D7" s="6" t="str">
        <f aca="false">IF(B7=C7,"✓","❌ DRIFT")</f>
        <v>✓</v>
      </c>
    </row>
    <row r="8" customFormat="false" ht="15" hidden="false" customHeight="true" outlineLevel="0" collapsed="false">
      <c r="A8" s="6" t="s">
        <v>124</v>
      </c>
      <c r="B8" s="6" t="n">
        <v>10</v>
      </c>
      <c r="C8" s="6" t="n">
        <f aca="false">p_ideal_drive_hours</f>
        <v>10</v>
      </c>
      <c r="D8" s="6" t="str">
        <f aca="false">IF(B8=C8,"✓","❌ DRIFT")</f>
        <v>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sheetData>
    <row r="1" customFormat="false" ht="15" hidden="false" customHeight="true" outlineLevel="0" collapsed="false">
      <c r="A1" s="6" t="s">
        <v>125</v>
      </c>
      <c r="B1" s="6" t="s">
        <v>126</v>
      </c>
      <c r="C1" s="6" t="s">
        <v>3</v>
      </c>
      <c r="D1" s="6" t="s">
        <v>127</v>
      </c>
    </row>
    <row r="2" customFormat="false" ht="15" hidden="false" customHeight="true" outlineLevel="0" collapsed="false">
      <c r="A2" s="6" t="s">
        <v>128</v>
      </c>
      <c r="B2" s="14" t="n">
        <f aca="true">NOW()</f>
        <v>46016.3091235714</v>
      </c>
      <c r="C2" s="6" t="s">
        <v>129</v>
      </c>
      <c r="D2" s="6" t="s">
        <v>130</v>
      </c>
    </row>
    <row r="3" customFormat="false" ht="15" hidden="false" customHeight="true" outlineLevel="0" collapsed="false">
      <c r="A3" s="6" t="s">
        <v>131</v>
      </c>
      <c r="B3" s="14" t="n">
        <f aca="true">NOW()</f>
        <v>46016.3091235714</v>
      </c>
      <c r="C3" s="6" t="s">
        <v>132</v>
      </c>
      <c r="D3" s="6" t="s">
        <v>133</v>
      </c>
    </row>
    <row r="4" customFormat="false" ht="15" hidden="false" customHeight="true" outlineLevel="0" collapsed="false">
      <c r="A4" s="6" t="s">
        <v>134</v>
      </c>
      <c r="B4" s="14" t="n">
        <f aca="true">NOW()</f>
        <v>46016.3091235714</v>
      </c>
      <c r="C4" s="6" t="s">
        <v>135</v>
      </c>
      <c r="D4" s="6" t="s">
        <v>136</v>
      </c>
    </row>
    <row r="5" customFormat="false" ht="15" hidden="false" customHeight="true" outlineLevel="0" collapsed="false">
      <c r="A5" s="6" t="s">
        <v>137</v>
      </c>
      <c r="B5" s="14" t="n">
        <f aca="true">NOW()</f>
        <v>46016.3091235714</v>
      </c>
      <c r="C5" s="6" t="s">
        <v>138</v>
      </c>
      <c r="D5" s="6" t="s">
        <v>139</v>
      </c>
    </row>
    <row r="6" customFormat="false" ht="15" hidden="false" customHeight="true" outlineLevel="0" collapsed="false">
      <c r="A6" s="6" t="s">
        <v>140</v>
      </c>
      <c r="B6" s="14" t="n">
        <f aca="true">NOW()</f>
        <v>46016.3091235715</v>
      </c>
      <c r="C6" s="6" t="s">
        <v>141</v>
      </c>
      <c r="D6" s="6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1" min="1" style="6" width="19.79"/>
    <col collapsed="false" customWidth="true" hidden="false" outlineLevel="0" max="2" min="2" style="6" width="34.84"/>
    <col collapsed="false" customWidth="true" hidden="false" outlineLevel="0" max="3" min="3" style="6" width="11.97"/>
    <col collapsed="false" customWidth="true" hidden="false" outlineLevel="0" max="4" min="4" style="6" width="14.93"/>
  </cols>
  <sheetData>
    <row r="1" customFormat="false" ht="17.25" hidden="false" customHeight="true" outlineLevel="0" collapsed="false">
      <c r="A1" s="1" t="s">
        <v>143</v>
      </c>
    </row>
    <row r="3" customFormat="false" ht="15" hidden="false" customHeight="true" outlineLevel="0" collapsed="false">
      <c r="A3" s="6" t="s">
        <v>144</v>
      </c>
      <c r="B3" s="15" t="str">
        <f aca="false">p_start_datetime</f>
        <v>2025-12-25 02:24</v>
      </c>
    </row>
    <row r="4" customFormat="false" ht="15" hidden="false" customHeight="true" outlineLevel="0" collapsed="false">
      <c r="A4" s="6" t="s">
        <v>145</v>
      </c>
      <c r="B4" s="15" t="n">
        <f aca="false">o_eta_ideal</f>
        <v>46016.5679166667</v>
      </c>
    </row>
    <row r="5" customFormat="false" ht="15" hidden="false" customHeight="true" outlineLevel="0" collapsed="false">
      <c r="A5" s="6" t="s">
        <v>146</v>
      </c>
      <c r="B5" s="15" t="n">
        <f aca="false">o_eta_real</f>
        <v>46016.5679166667</v>
      </c>
    </row>
    <row r="7" customFormat="false" ht="15" hidden="false" customHeight="true" outlineLevel="0" collapsed="false">
      <c r="A7" s="2" t="s">
        <v>147</v>
      </c>
    </row>
    <row r="8" customFormat="false" ht="15" hidden="false" customHeight="true" outlineLevel="0" collapsed="false">
      <c r="A8" s="16" t="s">
        <v>148</v>
      </c>
      <c r="B8" s="16" t="s">
        <v>126</v>
      </c>
      <c r="C8" s="16" t="s">
        <v>149</v>
      </c>
      <c r="D8" s="16" t="s">
        <v>119</v>
      </c>
    </row>
    <row r="9" customFormat="false" ht="15" hidden="false" customHeight="true" outlineLevel="0" collapsed="false">
      <c r="A9" s="6" t="n">
        <v>1</v>
      </c>
      <c r="B9" s="17" t="n">
        <f aca="false">p_start_datetime + 0</f>
        <v>46016.1</v>
      </c>
      <c r="C9" s="6" t="str">
        <f aca="false">TEXT(B9, "dddd")</f>
        <v>Thursday</v>
      </c>
      <c r="D9" s="6" t="str">
        <f aca="false">IF(INT(B9)&lt;INT(o_eta_real), "🚛 Driving", IF(INT(B9)=INT(o_eta_real), "🎯 ARRIVE!", "-"))</f>
        <v>🎯 ARRIVE!</v>
      </c>
    </row>
    <row r="10" customFormat="false" ht="15" hidden="false" customHeight="true" outlineLevel="0" collapsed="false">
      <c r="A10" s="6" t="n">
        <v>2</v>
      </c>
      <c r="B10" s="17" t="n">
        <f aca="false">p_start_datetime + 1</f>
        <v>46017.1</v>
      </c>
      <c r="C10" s="6" t="str">
        <f aca="false">TEXT(B10, "dddd")</f>
        <v>Friday</v>
      </c>
      <c r="D10" s="6" t="str">
        <f aca="false">IF(INT(B10)&lt;INT(o_eta_real), "🚛 Driving", IF(INT(B10)=INT(o_eta_real), "🎯 ARRIVE!", "-"))</f>
        <v>-</v>
      </c>
    </row>
    <row r="11" customFormat="false" ht="15" hidden="false" customHeight="true" outlineLevel="0" collapsed="false">
      <c r="A11" s="6" t="n">
        <v>3</v>
      </c>
      <c r="B11" s="17" t="n">
        <f aca="false">p_start_datetime + 2</f>
        <v>46018.1</v>
      </c>
      <c r="C11" s="6" t="str">
        <f aca="false">TEXT(B11, "dddd")</f>
        <v>Saturday</v>
      </c>
      <c r="D11" s="6" t="str">
        <f aca="false">IF(INT(B11)&lt;INT(o_eta_real), "🚛 Driving", IF(INT(B11)=INT(o_eta_real), "🎯 ARRIVE!", "-"))</f>
        <v>-</v>
      </c>
    </row>
    <row r="12" customFormat="false" ht="15" hidden="false" customHeight="true" outlineLevel="0" collapsed="false">
      <c r="A12" s="6" t="n">
        <v>4</v>
      </c>
      <c r="B12" s="17" t="n">
        <f aca="false">p_start_datetime + 3</f>
        <v>46019.1</v>
      </c>
      <c r="C12" s="6" t="str">
        <f aca="false">TEXT(B12, "dddd")</f>
        <v>Sunday</v>
      </c>
      <c r="D12" s="6" t="str">
        <f aca="false">IF(INT(B12)&lt;INT(o_eta_real), "🚛 Driving", IF(INT(B12)=INT(o_eta_real), "🎯 ARRIVE!", "-"))</f>
        <v>-</v>
      </c>
    </row>
    <row r="13" customFormat="false" ht="15" hidden="false" customHeight="true" outlineLevel="0" collapsed="false">
      <c r="A13" s="6" t="n">
        <v>5</v>
      </c>
      <c r="B13" s="17" t="n">
        <f aca="false">p_start_datetime + 4</f>
        <v>46020.1</v>
      </c>
      <c r="C13" s="6" t="str">
        <f aca="false">TEXT(B13, "dddd")</f>
        <v>Monday</v>
      </c>
      <c r="D13" s="6" t="str">
        <f aca="false">IF(INT(B13)&lt;INT(o_eta_real), "🚛 Driving", IF(INT(B13)=INT(o_eta_real), "🎯 ARRIVE!", "-"))</f>
        <v>-</v>
      </c>
    </row>
    <row r="14" customFormat="false" ht="15" hidden="false" customHeight="true" outlineLevel="0" collapsed="false">
      <c r="A14" s="6" t="n">
        <v>6</v>
      </c>
      <c r="B14" s="17" t="n">
        <f aca="false">p_start_datetime + 5</f>
        <v>46021.1</v>
      </c>
      <c r="C14" s="6" t="str">
        <f aca="false">TEXT(B14, "dddd")</f>
        <v>Tuesday</v>
      </c>
      <c r="D14" s="6" t="str">
        <f aca="false">IF(INT(B14)&lt;INT(o_eta_real), "🚛 Driving", IF(INT(B14)=INT(o_eta_real), "🎯 ARRIVE!", "-"))</f>
        <v>-</v>
      </c>
    </row>
    <row r="15" customFormat="false" ht="15" hidden="false" customHeight="true" outlineLevel="0" collapsed="false">
      <c r="A15" s="6" t="n">
        <v>7</v>
      </c>
      <c r="B15" s="17" t="n">
        <f aca="false">p_start_datetime + 6</f>
        <v>46022.1</v>
      </c>
      <c r="C15" s="6" t="str">
        <f aca="false">TEXT(B15, "dddd")</f>
        <v>Wednesday</v>
      </c>
      <c r="D15" s="6" t="str">
        <f aca="false">IF(INT(B15)&lt;INT(o_eta_real), "🚛 Driving", IF(INT(B15)=INT(o_eta_real), "🎯 ARRIVE!", "-"))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6" width="28"/>
    <col collapsed="false" customWidth="true" hidden="false" outlineLevel="0" max="2" min="2" style="6" width="8"/>
    <col collapsed="false" customWidth="true" hidden="false" outlineLevel="0" max="4" min="3" style="6" width="12"/>
    <col collapsed="false" customWidth="true" hidden="false" outlineLevel="0" max="5" min="5" style="6" width="18"/>
  </cols>
  <sheetData>
    <row r="1" customFormat="false" ht="17.25" hidden="false" customHeight="true" outlineLevel="0" collapsed="false">
      <c r="A1" s="1" t="s">
        <v>150</v>
      </c>
    </row>
    <row r="3" customFormat="false" ht="15" hidden="false" customHeight="true" outlineLevel="0" collapsed="false">
      <c r="A3" s="18" t="s">
        <v>126</v>
      </c>
      <c r="B3" s="18" t="s">
        <v>148</v>
      </c>
      <c r="C3" s="18" t="s">
        <v>151</v>
      </c>
      <c r="D3" s="18" t="s">
        <v>152</v>
      </c>
      <c r="E3" s="18" t="s">
        <v>153</v>
      </c>
    </row>
    <row r="4" customFormat="false" ht="15" hidden="false" customHeight="true" outlineLevel="0" collapsed="false">
      <c r="A4" s="19" t="n">
        <f aca="false">INT(p_start_datetime) - 6</f>
        <v>46010</v>
      </c>
      <c r="B4" s="20" t="str">
        <f aca="false">TEXT(A4, "ddd")</f>
        <v>Fri</v>
      </c>
      <c r="C4" s="21" t="n">
        <v>10.41</v>
      </c>
      <c r="D4" s="21" t="n">
        <v>11.16</v>
      </c>
      <c r="E4" s="22" t="n">
        <f aca="false">A4 + 7</f>
        <v>46017</v>
      </c>
    </row>
    <row r="5" customFormat="false" ht="15" hidden="false" customHeight="true" outlineLevel="0" collapsed="false">
      <c r="A5" s="19" t="n">
        <f aca="false">INT(p_start_datetime) - 5</f>
        <v>46011</v>
      </c>
      <c r="B5" s="20" t="str">
        <f aca="false">TEXT(A5, "ddd")</f>
        <v>Sat</v>
      </c>
      <c r="C5" s="21" t="n">
        <v>8.71</v>
      </c>
      <c r="D5" s="21" t="n">
        <v>8.9</v>
      </c>
      <c r="E5" s="22" t="n">
        <f aca="false">A5 + 7</f>
        <v>46018</v>
      </c>
    </row>
    <row r="6" customFormat="false" ht="15" hidden="false" customHeight="true" outlineLevel="0" collapsed="false">
      <c r="A6" s="19" t="n">
        <f aca="false">INT(p_start_datetime) - 4</f>
        <v>46012</v>
      </c>
      <c r="B6" s="20" t="str">
        <f aca="false">TEXT(A6, "ddd")</f>
        <v>Sun</v>
      </c>
      <c r="C6" s="21" t="n">
        <v>10.68</v>
      </c>
      <c r="D6" s="21" t="n">
        <v>10.78</v>
      </c>
      <c r="E6" s="22" t="n">
        <f aca="false">A6 + 7</f>
        <v>46019</v>
      </c>
    </row>
    <row r="7" customFormat="false" ht="15" hidden="false" customHeight="true" outlineLevel="0" collapsed="false">
      <c r="A7" s="19" t="n">
        <f aca="false">INT(p_start_datetime) - 3</f>
        <v>46013</v>
      </c>
      <c r="B7" s="20" t="str">
        <f aca="false">TEXT(A7, "ddd")</f>
        <v>Mon</v>
      </c>
      <c r="C7" s="21" t="n">
        <v>10.18</v>
      </c>
      <c r="D7" s="21" t="n">
        <v>10.44</v>
      </c>
      <c r="E7" s="22" t="n">
        <f aca="false">A7 + 7</f>
        <v>46020</v>
      </c>
    </row>
    <row r="8" customFormat="false" ht="15" hidden="false" customHeight="true" outlineLevel="0" collapsed="false">
      <c r="A8" s="19" t="n">
        <f aca="false">INT(p_start_datetime) - 2</f>
        <v>46014</v>
      </c>
      <c r="B8" s="20" t="str">
        <f aca="false">TEXT(A8, "ddd")</f>
        <v>Tue</v>
      </c>
      <c r="C8" s="21" t="n">
        <v>5.45</v>
      </c>
      <c r="D8" s="21" t="n">
        <v>5.63</v>
      </c>
      <c r="E8" s="22" t="n">
        <f aca="false">A8 + 7</f>
        <v>46021</v>
      </c>
    </row>
    <row r="9" customFormat="false" ht="15" hidden="false" customHeight="true" outlineLevel="0" collapsed="false">
      <c r="A9" s="19" t="n">
        <f aca="false">INT(p_start_datetime) - 1</f>
        <v>46015</v>
      </c>
      <c r="B9" s="20" t="str">
        <f aca="false">TEXT(A9, "ddd")</f>
        <v>Wed</v>
      </c>
      <c r="C9" s="21" t="n">
        <v>7.31</v>
      </c>
      <c r="D9" s="21" t="n">
        <v>7.89</v>
      </c>
      <c r="E9" s="22" t="n">
        <f aca="false">A9 + 7</f>
        <v>46022</v>
      </c>
    </row>
    <row r="10" customFormat="false" ht="15" hidden="false" customHeight="true" outlineLevel="0" collapsed="false">
      <c r="A10" s="23" t="n">
        <f aca="false">INT(p_start_datetime) - 0</f>
        <v>46016</v>
      </c>
      <c r="B10" s="24" t="str">
        <f aca="false">TEXT(A10, "ddd")</f>
        <v>Thu</v>
      </c>
      <c r="C10" s="25" t="n">
        <v>2</v>
      </c>
      <c r="D10" s="25" t="n">
        <v>2</v>
      </c>
      <c r="E10" s="26" t="n">
        <f aca="false">A10 + 7</f>
        <v>46023</v>
      </c>
    </row>
    <row r="12" customFormat="false" ht="15" hidden="false" customHeight="true" outlineLevel="0" collapsed="false">
      <c r="A12" s="2" t="s">
        <v>154</v>
      </c>
      <c r="D12" s="27" t="n">
        <f aca="false">SUM(D4:D10)</f>
        <v>56.8</v>
      </c>
    </row>
    <row r="13" customFormat="false" ht="15" hidden="false" customHeight="true" outlineLevel="0" collapsed="false">
      <c r="A13" s="6" t="s">
        <v>155</v>
      </c>
      <c r="D13" s="28" t="n">
        <v>70</v>
      </c>
    </row>
    <row r="14" customFormat="false" ht="17.25" hidden="false" customHeight="true" outlineLevel="0" collapsed="false">
      <c r="A14" s="2" t="s">
        <v>156</v>
      </c>
      <c r="D14" s="29" t="n">
        <f aca="false">D13-D12</f>
        <v>13.2</v>
      </c>
    </row>
    <row r="16" customFormat="false" ht="15" hidden="false" customHeight="true" outlineLevel="0" collapsed="false">
      <c r="A16" s="2" t="s">
        <v>157</v>
      </c>
    </row>
    <row r="17" customFormat="false" ht="15" hidden="false" customHeight="true" outlineLevel="0" collapsed="false">
      <c r="A17" s="6" t="s">
        <v>158</v>
      </c>
      <c r="D17" s="30" t="n">
        <f aca="false">D4</f>
        <v>11.16</v>
      </c>
      <c r="E17" s="6" t="str">
        <f aca="false">TEXT(E4, "MMM DD")</f>
        <v>Dec 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2025-12-24T05:26:37Z</dcterms:created>
  <dc:creator>openpyxl</dc:creator>
  <dc:description/>
  <dc:language>en-US</dc:language>
  <cp:lastModifiedBy/>
  <dcterms:modified xsi:type="dcterms:W3CDTF">2025-12-25T07:25:02Z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